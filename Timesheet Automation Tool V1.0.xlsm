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   \VBA projects\Timesheet automation\"/>
    </mc:Choice>
  </mc:AlternateContent>
  <xr:revisionPtr revIDLastSave="0" documentId="13_ncr:1_{09B3D7A2-DCD1-4004-AB24-868C5A6E56D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2" r:id="rId1"/>
    <sheet name="Temp" sheetId="4" r:id="rId2"/>
    <sheet name="Database" sheetId="6" r:id="rId3"/>
    <sheet name="data" sheetId="3" state="hidden" r:id="rId4"/>
  </sheets>
  <definedNames>
    <definedName name="AUDMEETTEAM">data!$I$6</definedName>
    <definedName name="ITCHKLST">data!$I$4</definedName>
    <definedName name="ITFR">data!$I$5</definedName>
    <definedName name="ITWP">data!$I$3</definedName>
    <definedName name="MEETCLNT">data!$I$7</definedName>
    <definedName name="No">data!$I$3:$I$9</definedName>
    <definedName name="_xlnm.Print_Area" localSheetId="0">Main!$A$1:$G$20</definedName>
    <definedName name="Yes">data!$H$3:$H$7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XFD25" i="4" l="1"/>
  <c r="XFD24" i="4"/>
  <c r="XFD23" i="4"/>
  <c r="XFD22" i="4"/>
  <c r="XFD21" i="4"/>
  <c r="XFD20" i="4"/>
  <c r="XFD19" i="4"/>
  <c r="XFD18" i="4"/>
  <c r="XFD17" i="4"/>
  <c r="XFD16" i="4"/>
  <c r="XFD15" i="4"/>
  <c r="XFD2" i="4" l="1"/>
  <c r="XFD3" i="4"/>
  <c r="XFD4" i="4"/>
  <c r="XFD5" i="4"/>
  <c r="XFD6" i="4"/>
  <c r="XFD7" i="4"/>
  <c r="XFD9" i="4"/>
  <c r="XFD10" i="4"/>
  <c r="XFD11" i="4"/>
  <c r="XFD12" i="4"/>
  <c r="XFD13" i="4"/>
  <c r="XFD14" i="4"/>
  <c r="B12" i="2" l="1"/>
  <c r="H13" i="2" l="1"/>
  <c r="H12" i="2" l="1"/>
  <c r="H14" i="2" l="1"/>
  <c r="XFD3" i="2" l="1"/>
</calcChain>
</file>

<file path=xl/sharedStrings.xml><?xml version="1.0" encoding="utf-8"?>
<sst xmlns="http://schemas.openxmlformats.org/spreadsheetml/2006/main" count="74" uniqueCount="19">
  <si>
    <t>Date</t>
  </si>
  <si>
    <t>Yes</t>
  </si>
  <si>
    <t>No</t>
  </si>
  <si>
    <t>Quantity</t>
  </si>
  <si>
    <t>Comments</t>
  </si>
  <si>
    <t>Billable?</t>
  </si>
  <si>
    <t>Activity Code</t>
  </si>
  <si>
    <t>Code</t>
  </si>
  <si>
    <t>Job Name</t>
  </si>
  <si>
    <t>Status</t>
  </si>
  <si>
    <t>Description</t>
  </si>
  <si>
    <t>From</t>
  </si>
  <si>
    <t>To</t>
  </si>
  <si>
    <t>Work done</t>
  </si>
  <si>
    <t>TimeSheet Automation Tool V1.0</t>
  </si>
  <si>
    <t>&lt;Client names&gt;</t>
  </si>
  <si>
    <t>&lt;Activity Codes&gt;</t>
  </si>
  <si>
    <t>&lt;Activity Codes&gt; (When yes is selected)</t>
  </si>
  <si>
    <t>&lt;Activity Codes&gt; (When no is selected)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</si>
</sst>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009]dd/mm/yyyy;@"/>
    <numFmt numFmtId="165" formatCode="hh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0" fillId="0" borderId="0" xfId="0" applyAlignment="1">
      <alignment horizontal="left" vertical="top"/>
    </xf>
    <xf numFmtId="0" fontId="1" fillId="0" borderId="0" xfId="0" applyFont="1"/>
    <xf numFmtId="2" fontId="0" fillId="0" borderId="0" xfId="0" applyNumberFormat="1"/>
    <xf numFmtId="18" fontId="0" fillId="0" borderId="0" xfId="0" applyNumberFormat="1"/>
    <xf numFmtId="0" fontId="0" fillId="0" borderId="0" xfId="0" applyAlignment="1">
      <alignment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left" vertical="top"/>
    </xf>
    <xf numFmtId="18" fontId="0" fillId="0" borderId="0" xfId="0" quotePrefix="1" applyNumberFormat="1" applyAlignment="1">
      <alignment horizontal="left" vertical="top"/>
    </xf>
    <xf numFmtId="2" fontId="0" fillId="0" borderId="0" xfId="0" applyNumberFormat="1" applyAlignment="1">
      <alignment horizontal="left" vertical="top" wrapText="1"/>
    </xf>
    <xf numFmtId="0" fontId="0" fillId="0" borderId="1" xfId="0" applyBorder="1"/>
    <xf numFmtId="0" fontId="0" fillId="0" borderId="2" xfId="0" applyBorder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</xdr:row>
          <xdr:rowOff>0</xdr:rowOff>
        </xdr:from>
        <xdr:to>
          <xdr:col>8</xdr:col>
          <xdr:colOff>609600</xdr:colOff>
          <xdr:row>2</xdr:row>
          <xdr:rowOff>137160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Temp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1</xdr:row>
          <xdr:rowOff>0</xdr:rowOff>
        </xdr:from>
        <xdr:to>
          <xdr:col>10</xdr:col>
          <xdr:colOff>601980</xdr:colOff>
          <xdr:row>2</xdr:row>
          <xdr:rowOff>137160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Browser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5" totalsRowShown="0" headerRowDxfId="1">
  <autoFilter ref="A1:C15" xr:uid="{00000000-0009-0000-0100-000001000000}"/>
  <tableColumns count="3">
    <tableColumn id="1" xr3:uid="{00000000-0010-0000-0000-000001000000}" name="Code"/>
    <tableColumn id="2" xr3:uid="{00000000-0010-0000-0000-000002000000}" name="Job Name"/>
    <tableColumn id="3" xr3:uid="{00000000-0010-0000-0000-000003000000}" name="Statu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E1:F13" totalsRowShown="0" headerRowDxfId="0">
  <autoFilter ref="E1:F13" xr:uid="{00000000-0009-0000-0100-000002000000}"/>
  <tableColumns count="2">
    <tableColumn id="1" xr3:uid="{00000000-0010-0000-0100-000001000000}" name="Code"/>
    <tableColumn id="2" xr3:uid="{00000000-0010-0000-0100-000002000000}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FD20"/>
  <sheetViews>
    <sheetView tabSelected="1" view="pageBreakPreview" zoomScaleNormal="100" zoomScaleSheetLayoutView="100" workbookViewId="0">
      <selection activeCell="B3" sqref="B3:G3"/>
    </sheetView>
  </sheetViews>
  <sheetFormatPr defaultRowHeight="14.4" x14ac:dyDescent="0.3"/>
  <cols>
    <col min="1" max="1" width="11.6640625" bestFit="1" customWidth="1"/>
    <col min="8" max="8" width="9.6640625" bestFit="1" customWidth="1"/>
  </cols>
  <sheetData>
    <row r="1" spans="1:13 16383:16384" x14ac:dyDescent="0.3">
      <c r="A1" s="14" t="s">
        <v>14</v>
      </c>
      <c r="B1" s="14"/>
      <c r="C1" s="14"/>
      <c r="D1" s="14"/>
      <c r="E1" s="14"/>
      <c r="F1" s="14"/>
      <c r="G1" s="14"/>
    </row>
    <row r="3" spans="1:13 16383:16384" x14ac:dyDescent="0.3">
      <c r="A3" s="2" t="s">
        <v>0</v>
      </c>
      <c r="B3" s="13"/>
      <c r="C3" s="13"/>
      <c r="D3" s="13"/>
      <c r="E3" s="13"/>
      <c r="F3" s="13"/>
      <c r="G3" s="13"/>
      <c r="XFD3">
        <f>VALUE(B3)</f>
        <v>0</v>
      </c>
    </row>
    <row r="4" spans="1:13 16383:16384" x14ac:dyDescent="0.3">
      <c r="A4" s="2" t="s">
        <v>5</v>
      </c>
      <c r="B4" s="12"/>
      <c r="C4" s="12"/>
      <c r="D4" s="12"/>
      <c r="E4" s="12"/>
      <c r="F4" s="12"/>
      <c r="G4" s="12"/>
    </row>
    <row r="5" spans="1:13 16383:16384" x14ac:dyDescent="0.3">
      <c r="A5" s="2" t="s">
        <v>8</v>
      </c>
      <c r="B5" s="12"/>
      <c r="C5" s="12"/>
      <c r="D5" s="12"/>
      <c r="E5" s="12"/>
      <c r="F5" s="12"/>
      <c r="G5" s="12"/>
    </row>
    <row r="6" spans="1:13 16383:16384" x14ac:dyDescent="0.3">
      <c r="A6" s="2" t="s">
        <v>11</v>
      </c>
      <c r="B6" s="16">
        <v>0.48958333333333298</v>
      </c>
      <c r="C6" s="16"/>
      <c r="D6" s="16"/>
      <c r="E6" s="16"/>
      <c r="F6" s="16"/>
      <c r="G6" s="16"/>
      <c r="H6" s="5"/>
    </row>
    <row r="7" spans="1:13 16383:16384" x14ac:dyDescent="0.3">
      <c r="A7" s="2" t="s">
        <v>12</v>
      </c>
      <c r="B7" s="16"/>
      <c r="C7" s="16"/>
      <c r="D7" s="16"/>
      <c r="E7" s="16"/>
      <c r="F7" s="16"/>
      <c r="G7" s="16"/>
      <c r="H7" s="5"/>
      <c r="XFC7" s="4"/>
      <c r="XFD7" s="4"/>
    </row>
    <row r="8" spans="1:13 16383:16384" x14ac:dyDescent="0.3">
      <c r="A8" s="12" t="s">
        <v>13</v>
      </c>
      <c r="B8" s="17"/>
      <c r="C8" s="15"/>
      <c r="D8" s="15"/>
      <c r="E8" s="15"/>
      <c r="F8" s="15"/>
      <c r="G8" s="15"/>
    </row>
    <row r="9" spans="1:13 16383:16384" x14ac:dyDescent="0.3">
      <c r="A9" s="12"/>
      <c r="B9" s="15"/>
      <c r="C9" s="15"/>
      <c r="D9" s="15"/>
      <c r="E9" s="15"/>
      <c r="F9" s="15"/>
      <c r="G9" s="15"/>
    </row>
    <row r="10" spans="1:13 16383:16384" x14ac:dyDescent="0.3">
      <c r="A10" s="12"/>
      <c r="B10" s="15"/>
      <c r="C10" s="15"/>
      <c r="D10" s="15"/>
      <c r="E10" s="15"/>
      <c r="F10" s="15"/>
      <c r="G10" s="15"/>
    </row>
    <row r="11" spans="1:13 16383:16384" x14ac:dyDescent="0.3">
      <c r="A11" s="12"/>
      <c r="B11" s="15"/>
      <c r="C11" s="15"/>
      <c r="D11" s="15"/>
      <c r="E11" s="15"/>
      <c r="F11" s="15"/>
      <c r="G11" s="15"/>
    </row>
    <row r="12" spans="1:13 16383:16384" x14ac:dyDescent="0.3">
      <c r="A12" s="2" t="s">
        <v>3</v>
      </c>
      <c r="B12" s="15" t="str">
        <f>IFERROR(HOUR(B7-B6)&amp;"."&amp;(MINUTE(B7-B6)/60*100),"")</f>
        <v/>
      </c>
      <c r="C12" s="15"/>
      <c r="D12" s="15"/>
      <c r="E12" s="15"/>
      <c r="F12" s="15"/>
      <c r="G12" s="15"/>
      <c r="H12" s="10" t="e">
        <f>HOUR(B7-B6)&amp;"."&amp;(MINUTE(B7-B6)/60*100)</f>
        <v>#NUM!</v>
      </c>
    </row>
    <row r="13" spans="1:13 16383:16384" x14ac:dyDescent="0.3">
      <c r="A13" s="2" t="s">
        <v>6</v>
      </c>
      <c r="B13" s="12"/>
      <c r="C13" s="12"/>
      <c r="D13" s="12"/>
      <c r="E13" s="12"/>
      <c r="F13" s="12"/>
      <c r="G13" s="12"/>
      <c r="H13" t="str">
        <f>IFERROR(VLOOKUP(B13,Table2[],2,FALSE),"")</f>
        <v/>
      </c>
    </row>
    <row r="14" spans="1:13 16383:16384" x14ac:dyDescent="0.3">
      <c r="A14" s="12" t="s">
        <v>4</v>
      </c>
      <c r="B14" s="12" t="str">
        <f>IF(OR(B6="",B7="",B8=""),"","From "&amp;TEXT(B6,"HH:MM AM/PM")&amp;" to "&amp;TEXT(B7,"HH:MM AM/PM")&amp;" : "&amp;B8)</f>
        <v/>
      </c>
      <c r="C14" s="12"/>
      <c r="D14" s="12"/>
      <c r="E14" s="12"/>
      <c r="F14" s="12"/>
      <c r="G14" s="12"/>
      <c r="H14" s="12" t="str">
        <f>IF(OR(B6="",B7="",B8=""),"","From "&amp;TEXT(B6,"HH:MM AM/PM")&amp;" to "&amp;TEXT(B7,"HH:MM AM/PM")&amp;" : "&amp;B8)</f>
        <v/>
      </c>
      <c r="I14" s="12"/>
      <c r="J14" s="12"/>
      <c r="K14" s="12"/>
      <c r="L14" s="12"/>
      <c r="M14" s="12"/>
    </row>
    <row r="15" spans="1:13 16383:16384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13 16383:16384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</row>
  </sheetData>
  <mergeCells count="13">
    <mergeCell ref="H14:M20"/>
    <mergeCell ref="B3:G3"/>
    <mergeCell ref="A1:G1"/>
    <mergeCell ref="B4:G4"/>
    <mergeCell ref="B5:G5"/>
    <mergeCell ref="B12:G12"/>
    <mergeCell ref="B7:G7"/>
    <mergeCell ref="B6:G6"/>
    <mergeCell ref="B13:G13"/>
    <mergeCell ref="B14:G20"/>
    <mergeCell ref="A14:A20"/>
    <mergeCell ref="B8:G11"/>
    <mergeCell ref="A8:A11"/>
  </mergeCells>
  <dataValidations count="1">
    <dataValidation type="list" allowBlank="1" showInputMessage="1" showErrorMessage="1" sqref="B13:G13" xr:uid="{00000000-0002-0000-0000-000000000000}">
      <formula1>INDIRECT(B4)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temp">
                <anchor moveWithCells="1" siz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8</xdr:col>
                    <xdr:colOff>609600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main.test">
                <anchor moveWithCells="1" sizeWithCells="1">
                  <from>
                    <xdr:col>9</xdr:col>
                    <xdr:colOff>121920</xdr:colOff>
                    <xdr:row>1</xdr:row>
                    <xdr:rowOff>0</xdr:rowOff>
                  </from>
                  <to>
                    <xdr:col>10</xdr:col>
                    <xdr:colOff>601980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1000000}">
          <x14:formula1>
            <xm:f>data!$B$2:$B$15</xm:f>
          </x14:formula1>
          <xm:sqref>B5:G5</xm:sqref>
        </x14:dataValidation>
        <x14:dataValidation type="list" allowBlank="1" showInputMessage="1" showErrorMessage="1" xr:uid="{00000000-0002-0000-0000-000002000000}">
          <x14:formula1>
            <xm:f>data!$H$2:$I$2</xm:f>
          </x14:formula1>
          <xm:sqref>B4:G4</xm:sqref>
        </x14:dataValidation>
        <x14:dataValidation type="date" allowBlank="1" showInputMessage="1" showErrorMessage="1" xr:uid="{00000000-0002-0000-0000-000003000000}">
          <x14:formula1>
            <xm:f>data!K1</xm:f>
          </x14:formula1>
          <x14:formula2>
            <xm:f>data!K2</xm:f>
          </x14:formula2>
          <xm:sqref>B3:G3 B6:G6</xm:sqref>
        </x14:dataValidation>
        <x14:dataValidation type="time" allowBlank="1" showInputMessage="1" showErrorMessage="1" xr:uid="{00000000-0002-0000-0000-000005000000}">
          <x14:formula1>
            <xm:f>data!K4</xm:f>
          </x14:formula1>
          <x14:formula2>
            <xm:f>data!K5</xm:f>
          </x14:formula2>
          <xm:sqref>B7:G7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FD1048564"/>
  <sheetViews>
    <sheetView workbookViewId="0">
      <selection activeCell="A3" sqref="A3"/>
    </sheetView>
  </sheetViews>
  <sheetFormatPr defaultRowHeight="14.4" x14ac:dyDescent="0.3"/>
  <cols>
    <col min="1" max="1" width="11.33203125" style="9" bestFit="1" customWidth="1"/>
    <col min="2" max="2" width="10.33203125" bestFit="1" customWidth="1"/>
    <col min="3" max="3" width="44.33203125" customWidth="1"/>
    <col min="4" max="5" width="8.88671875" style="5"/>
    <col min="6" max="6" width="47.44140625" customWidth="1"/>
    <col min="7" max="7" width="10.33203125" style="4" customWidth="1"/>
    <col min="8" max="8" width="14" customWidth="1"/>
    <col min="9" max="9" width="53.88671875" customWidth="1"/>
  </cols>
  <sheetData>
    <row r="1" spans="1:15 16384:16384" x14ac:dyDescent="0.3">
      <c r="A1" s="7" t="s">
        <v>0</v>
      </c>
      <c r="B1" s="7" t="s">
        <v>5</v>
      </c>
      <c r="C1" s="7" t="s">
        <v>8</v>
      </c>
      <c r="D1" s="7" t="s">
        <v>11</v>
      </c>
      <c r="E1" s="7" t="s">
        <v>12</v>
      </c>
      <c r="F1" s="8" t="s">
        <v>13</v>
      </c>
      <c r="G1" s="7" t="s">
        <v>3</v>
      </c>
      <c r="H1" s="7" t="s">
        <v>6</v>
      </c>
      <c r="I1" s="8" t="s">
        <v>4</v>
      </c>
      <c r="J1" s="6"/>
      <c r="K1" s="6"/>
      <c r="L1" s="6"/>
      <c r="M1" s="6"/>
      <c r="N1" s="6"/>
      <c r="O1" s="6"/>
    </row>
    <row r="2" spans="1:15 16384:16384" x14ac:dyDescent="0.3">
      <c r="F2" s="11"/>
      <c r="I2" s="11"/>
      <c r="XFD2" t="str">
        <f t="shared" ref="XFD2:XFD7" si="0">IF(VALUE(A2)=0,"",VALUE(A2))</f>
        <v/>
      </c>
    </row>
    <row r="3" spans="1:15 16384:16384" x14ac:dyDescent="0.3">
      <c r="F3" s="11"/>
      <c r="I3" s="11"/>
      <c r="XFD3" t="str">
        <f t="shared" si="0"/>
        <v/>
      </c>
    </row>
    <row r="4" spans="1:15 16384:16384" x14ac:dyDescent="0.3">
      <c r="XFD4" t="str">
        <f t="shared" si="0"/>
        <v/>
      </c>
    </row>
    <row r="5" spans="1:15 16384:16384" x14ac:dyDescent="0.3">
      <c r="F5" s="11"/>
      <c r="XFD5" t="str">
        <f t="shared" si="0"/>
        <v/>
      </c>
    </row>
    <row r="6" spans="1:15 16384:16384" x14ac:dyDescent="0.3">
      <c r="XFD6" t="str">
        <f t="shared" si="0"/>
        <v/>
      </c>
    </row>
    <row r="7" spans="1:15 16384:16384" x14ac:dyDescent="0.3">
      <c r="XFD7" t="str">
        <f t="shared" si="0"/>
        <v/>
      </c>
    </row>
    <row r="9" spans="1:15 16384:16384" x14ac:dyDescent="0.3">
      <c r="XFD9" t="str">
        <f t="shared" ref="XFD9:XFD25" si="1">IF(VALUE(A9)=0,"",VALUE(A9))</f>
        <v/>
      </c>
    </row>
    <row r="10" spans="1:15 16384:16384" x14ac:dyDescent="0.3">
      <c r="F10" s="11"/>
      <c r="I10" s="11"/>
      <c r="XFD10" t="str">
        <f t="shared" si="1"/>
        <v/>
      </c>
    </row>
    <row r="11" spans="1:15 16384:16384" x14ac:dyDescent="0.3">
      <c r="F11" s="11"/>
      <c r="I11" s="11"/>
      <c r="XFD11" t="str">
        <f t="shared" si="1"/>
        <v/>
      </c>
    </row>
    <row r="12" spans="1:15 16384:16384" x14ac:dyDescent="0.3">
      <c r="F12" s="11"/>
      <c r="I12" s="11"/>
      <c r="XFD12" t="str">
        <f t="shared" si="1"/>
        <v/>
      </c>
    </row>
    <row r="13" spans="1:15 16384:16384" x14ac:dyDescent="0.3">
      <c r="F13" s="11"/>
      <c r="I13" s="11"/>
      <c r="XFD13" t="str">
        <f t="shared" si="1"/>
        <v/>
      </c>
    </row>
    <row r="14" spans="1:15 16384:16384" x14ac:dyDescent="0.3">
      <c r="F14" s="11"/>
      <c r="I14" s="11"/>
      <c r="XFD14" t="str">
        <f t="shared" si="1"/>
        <v/>
      </c>
    </row>
    <row r="15" spans="1:15 16384:16384" x14ac:dyDescent="0.3">
      <c r="XFD15" t="str">
        <f t="shared" si="1"/>
        <v/>
      </c>
    </row>
    <row r="16" spans="1:15 16384:16384" x14ac:dyDescent="0.3">
      <c r="XFD16" t="str">
        <f t="shared" si="1"/>
        <v/>
      </c>
    </row>
    <row r="17" spans="16384:16384" x14ac:dyDescent="0.3">
      <c r="XFD17" t="str">
        <f t="shared" si="1"/>
        <v/>
      </c>
    </row>
    <row r="18" spans="16384:16384" x14ac:dyDescent="0.3">
      <c r="XFD18" t="str">
        <f t="shared" si="1"/>
        <v/>
      </c>
    </row>
    <row r="19" spans="16384:16384" x14ac:dyDescent="0.3">
      <c r="XFD19" t="str">
        <f t="shared" si="1"/>
        <v/>
      </c>
    </row>
    <row r="20" spans="16384:16384" x14ac:dyDescent="0.3">
      <c r="XFD20" t="str">
        <f t="shared" si="1"/>
        <v/>
      </c>
    </row>
    <row r="21" spans="16384:16384" x14ac:dyDescent="0.3">
      <c r="XFD21" t="str">
        <f t="shared" si="1"/>
        <v/>
      </c>
    </row>
    <row r="22" spans="16384:16384" x14ac:dyDescent="0.3">
      <c r="XFD22" t="str">
        <f t="shared" si="1"/>
        <v/>
      </c>
    </row>
    <row r="23" spans="16384:16384" x14ac:dyDescent="0.3">
      <c r="XFD23" t="str">
        <f t="shared" si="1"/>
        <v/>
      </c>
    </row>
    <row r="24" spans="16384:16384" x14ac:dyDescent="0.3">
      <c r="XFD24" t="str">
        <f t="shared" si="1"/>
        <v/>
      </c>
    </row>
    <row r="25" spans="16384:16384" x14ac:dyDescent="0.3">
      <c r="XFD25" t="str">
        <f t="shared" si="1"/>
        <v/>
      </c>
    </row>
    <row r="1048564" spans="4:7" x14ac:dyDescent="0.3">
      <c r="D1048564"/>
      <c r="E1048564"/>
      <c r="G104856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I1047824"/>
  <sheetViews>
    <sheetView zoomScale="80" zoomScaleNormal="80" workbookViewId="0">
      <selection activeCell="B37" sqref="B37"/>
    </sheetView>
  </sheetViews>
  <sheetFormatPr defaultRowHeight="14.4" x14ac:dyDescent="0.3"/>
  <cols>
    <col min="1" max="1" width="11.33203125" style="9" bestFit="1" customWidth="1"/>
    <col min="2" max="2" width="8.88671875" bestFit="1" customWidth="1"/>
    <col min="3" max="3" width="26.88671875" bestFit="1" customWidth="1"/>
    <col min="4" max="4" width="23.44140625" style="5" bestFit="1" customWidth="1"/>
    <col min="5" max="5" width="9.5546875" style="5" bestFit="1" customWidth="1"/>
    <col min="6" max="6" width="61.109375" style="11" customWidth="1"/>
    <col min="7" max="7" width="8.88671875" style="4" bestFit="1" customWidth="1"/>
    <col min="8" max="8" width="22.109375" customWidth="1"/>
    <col min="9" max="9" width="64.88671875" style="11" customWidth="1"/>
  </cols>
  <sheetData>
    <row r="1" spans="1:9" x14ac:dyDescent="0.3">
      <c r="A1" s="7" t="s">
        <v>0</v>
      </c>
      <c r="B1" s="7" t="s">
        <v>5</v>
      </c>
      <c r="C1" s="7" t="s">
        <v>8</v>
      </c>
      <c r="D1" s="7" t="s">
        <v>11</v>
      </c>
      <c r="E1" s="7" t="s">
        <v>12</v>
      </c>
      <c r="F1" s="8" t="s">
        <v>13</v>
      </c>
      <c r="G1" s="7" t="s">
        <v>3</v>
      </c>
      <c r="H1" s="7" t="s">
        <v>6</v>
      </c>
      <c r="I1" s="8" t="s">
        <v>4</v>
      </c>
    </row>
    <row r="1047824" spans="4:5" x14ac:dyDescent="0.3">
      <c r="D1047824"/>
      <c r="E104782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K15"/>
  <sheetViews>
    <sheetView workbookViewId="0">
      <selection activeCell="K8" sqref="K8"/>
    </sheetView>
  </sheetViews>
  <sheetFormatPr defaultRowHeight="14.4" x14ac:dyDescent="0.3"/>
  <cols>
    <col min="1" max="1" width="12.33203125" bestFit="1" customWidth="1"/>
    <col min="2" max="2" width="15.21875" customWidth="1"/>
    <col min="3" max="3" width="8.6640625" bestFit="1" customWidth="1"/>
    <col min="4" max="4" width="2.21875" customWidth="1"/>
    <col min="5" max="5" width="14.33203125" bestFit="1" customWidth="1"/>
    <col min="6" max="6" width="18" customWidth="1"/>
    <col min="7" max="7" width="2.21875" customWidth="1"/>
    <col min="8" max="8" width="38.6640625" bestFit="1" customWidth="1"/>
    <col min="9" max="9" width="32.77734375" bestFit="1" customWidth="1"/>
    <col min="11" max="11" width="10.44140625" bestFit="1" customWidth="1"/>
  </cols>
  <sheetData>
    <row r="1" spans="1:11" x14ac:dyDescent="0.3">
      <c r="A1" s="3" t="s">
        <v>7</v>
      </c>
      <c r="B1" s="3" t="s">
        <v>8</v>
      </c>
      <c r="C1" s="3" t="s">
        <v>9</v>
      </c>
      <c r="E1" s="3" t="s">
        <v>7</v>
      </c>
      <c r="F1" s="3" t="s">
        <v>10</v>
      </c>
      <c r="H1" s="14" t="s">
        <v>5</v>
      </c>
      <c r="I1" s="14"/>
      <c r="K1" s="1">
        <v>44652</v>
      </c>
    </row>
    <row r="2" spans="1:11" x14ac:dyDescent="0.3">
      <c r="B2" t="s">
        <v>15</v>
      </c>
      <c r="F2" t="s">
        <v>16</v>
      </c>
      <c r="H2" s="19" t="s">
        <v>1</v>
      </c>
      <c r="I2" s="18" t="s">
        <v>2</v>
      </c>
      <c r="K2" s="1">
        <v>45748</v>
      </c>
    </row>
    <row r="3" spans="1:11" x14ac:dyDescent="0.3">
      <c r="B3" t="s">
        <v>15</v>
      </c>
      <c r="F3" t="s">
        <v>16</v>
      </c>
      <c r="H3" s="19" t="s">
        <v>17</v>
      </c>
      <c r="I3" s="19" t="s">
        <v>18</v>
      </c>
    </row>
    <row r="4" spans="1:11" x14ac:dyDescent="0.3">
      <c r="B4" t="s">
        <v>15</v>
      </c>
      <c r="F4" t="s">
        <v>16</v>
      </c>
      <c r="H4" s="19" t="s">
        <v>17</v>
      </c>
      <c r="I4" s="19" t="s">
        <v>18</v>
      </c>
      <c r="K4" s="5">
        <v>0.375</v>
      </c>
    </row>
    <row r="5" spans="1:11" x14ac:dyDescent="0.3">
      <c r="B5" t="s">
        <v>15</v>
      </c>
      <c r="F5" t="s">
        <v>16</v>
      </c>
      <c r="H5" s="19" t="s">
        <v>17</v>
      </c>
      <c r="I5" s="19" t="s">
        <v>18</v>
      </c>
      <c r="K5" s="5">
        <v>0.875</v>
      </c>
    </row>
    <row r="6" spans="1:11" x14ac:dyDescent="0.3">
      <c r="B6" t="s">
        <v>15</v>
      </c>
      <c r="F6" t="s">
        <v>16</v>
      </c>
      <c r="H6" s="19" t="s">
        <v>17</v>
      </c>
      <c r="I6" s="19" t="s">
        <v>18</v>
      </c>
    </row>
    <row r="7" spans="1:11" x14ac:dyDescent="0.3">
      <c r="B7" t="s">
        <v>15</v>
      </c>
      <c r="F7" t="s">
        <v>16</v>
      </c>
      <c r="H7" s="19" t="s">
        <v>17</v>
      </c>
      <c r="I7" s="19" t="s">
        <v>18</v>
      </c>
      <c r="K7">
        <v>0.25</v>
      </c>
    </row>
    <row r="8" spans="1:11" x14ac:dyDescent="0.3">
      <c r="B8" t="s">
        <v>15</v>
      </c>
      <c r="F8" t="s">
        <v>16</v>
      </c>
      <c r="I8" s="19" t="s">
        <v>18</v>
      </c>
      <c r="K8">
        <v>12</v>
      </c>
    </row>
    <row r="9" spans="1:11" x14ac:dyDescent="0.3">
      <c r="B9" t="s">
        <v>15</v>
      </c>
      <c r="F9" t="s">
        <v>16</v>
      </c>
      <c r="I9" s="19" t="s">
        <v>18</v>
      </c>
    </row>
    <row r="10" spans="1:11" x14ac:dyDescent="0.3">
      <c r="B10" t="s">
        <v>15</v>
      </c>
      <c r="F10" t="s">
        <v>16</v>
      </c>
    </row>
    <row r="11" spans="1:11" x14ac:dyDescent="0.3">
      <c r="B11" t="s">
        <v>15</v>
      </c>
      <c r="F11" t="s">
        <v>16</v>
      </c>
    </row>
    <row r="12" spans="1:11" x14ac:dyDescent="0.3">
      <c r="B12" t="s">
        <v>15</v>
      </c>
      <c r="F12" t="s">
        <v>16</v>
      </c>
    </row>
    <row r="13" spans="1:11" x14ac:dyDescent="0.3">
      <c r="B13" t="s">
        <v>15</v>
      </c>
      <c r="F13" t="s">
        <v>16</v>
      </c>
    </row>
    <row r="14" spans="1:11" x14ac:dyDescent="0.3">
      <c r="B14" t="s">
        <v>15</v>
      </c>
    </row>
    <row r="15" spans="1:11" x14ac:dyDescent="0.3">
      <c r="B15" t="s">
        <v>15</v>
      </c>
    </row>
  </sheetData>
  <mergeCells count="1">
    <mergeCell ref="H1:I1"/>
  </mergeCell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FA540C-65F6-4B6C-9CDE-42D2A73919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Main</vt:lpstr>
      <vt:lpstr>Temp</vt:lpstr>
      <vt:lpstr>Database</vt:lpstr>
      <vt:lpstr>data</vt:lpstr>
      <vt:lpstr>AUDMEETTEAM</vt:lpstr>
      <vt:lpstr>ITCHKLST</vt:lpstr>
      <vt:lpstr>ITFR</vt:lpstr>
      <vt:lpstr>ITWP</vt:lpstr>
      <vt:lpstr>MEETCLNT</vt:lpstr>
      <vt:lpstr>No</vt:lpstr>
      <vt:lpstr>Main!Print_Area</vt:lpstr>
      <vt:lpstr>Yes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Sanket.Doijode@kmllp.in</dc:creator>
  <cp:lastModifiedBy>Admin</cp:lastModifiedBy>
  <dcterms:created xsi:type="dcterms:W3CDTF">2015-06-05T18:17:20Z</dcterms:created>
  <dcterms:modified xsi:type="dcterms:W3CDTF">2023-03-12T11:18:52Z</dcterms:modified>
</cp:coreProperties>
</file>